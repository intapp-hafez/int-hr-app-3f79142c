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fez\Downloads\"/>
    </mc:Choice>
  </mc:AlternateContent>
  <xr:revisionPtr revIDLastSave="0" documentId="13_ncr:1_{F5C30EAF-59D4-4DFA-9E84-1B4AE69BB6A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KPI Overview" sheetId="1" r:id="rId1"/>
    <sheet name="Annul Evalu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Lb5fbNCV0GfCiU0S7L6ULcSIVNJqV0c47nWB6EAowaU="/>
    </ext>
  </extLst>
</workbook>
</file>

<file path=xl/calcChain.xml><?xml version="1.0" encoding="utf-8"?>
<calcChain xmlns="http://schemas.openxmlformats.org/spreadsheetml/2006/main">
  <c r="O25" i="2" l="1"/>
  <c r="P25" i="2" s="1"/>
  <c r="L25" i="2"/>
  <c r="M25" i="2" s="1"/>
  <c r="I25" i="2"/>
  <c r="J25" i="2" s="1"/>
  <c r="F25" i="2"/>
  <c r="G25" i="2" s="1"/>
  <c r="Q25" i="2" s="1"/>
  <c r="D25" i="2"/>
  <c r="C25" i="2"/>
  <c r="B25" i="2"/>
  <c r="O24" i="2"/>
  <c r="P24" i="2" s="1"/>
  <c r="L24" i="2"/>
  <c r="M24" i="2" s="1"/>
  <c r="I24" i="2"/>
  <c r="J24" i="2" s="1"/>
  <c r="F24" i="2"/>
  <c r="G24" i="2" s="1"/>
  <c r="D24" i="2"/>
  <c r="C24" i="2"/>
  <c r="B24" i="2"/>
  <c r="O23" i="2"/>
  <c r="P23" i="2" s="1"/>
  <c r="L23" i="2"/>
  <c r="M23" i="2" s="1"/>
  <c r="I23" i="2"/>
  <c r="J23" i="2" s="1"/>
  <c r="F23" i="2"/>
  <c r="G23" i="2" s="1"/>
  <c r="D23" i="2"/>
  <c r="C23" i="2"/>
  <c r="B23" i="2"/>
  <c r="O22" i="2"/>
  <c r="P22" i="2" s="1"/>
  <c r="L22" i="2"/>
  <c r="M22" i="2" s="1"/>
  <c r="I22" i="2"/>
  <c r="J22" i="2" s="1"/>
  <c r="F22" i="2"/>
  <c r="G22" i="2" s="1"/>
  <c r="D22" i="2"/>
  <c r="C22" i="2"/>
  <c r="B22" i="2"/>
  <c r="O21" i="2"/>
  <c r="P21" i="2" s="1"/>
  <c r="L21" i="2"/>
  <c r="M21" i="2" s="1"/>
  <c r="I21" i="2"/>
  <c r="J21" i="2" s="1"/>
  <c r="F21" i="2"/>
  <c r="G21" i="2" s="1"/>
  <c r="Q21" i="2" s="1"/>
  <c r="D21" i="2"/>
  <c r="C21" i="2"/>
  <c r="B21" i="2"/>
  <c r="O20" i="2"/>
  <c r="P20" i="2" s="1"/>
  <c r="L20" i="2"/>
  <c r="M20" i="2" s="1"/>
  <c r="I20" i="2"/>
  <c r="J20" i="2" s="1"/>
  <c r="F20" i="2"/>
  <c r="G20" i="2" s="1"/>
  <c r="D20" i="2"/>
  <c r="C20" i="2"/>
  <c r="B20" i="2"/>
  <c r="O19" i="2"/>
  <c r="P19" i="2" s="1"/>
  <c r="L19" i="2"/>
  <c r="M19" i="2" s="1"/>
  <c r="I19" i="2"/>
  <c r="J19" i="2" s="1"/>
  <c r="F19" i="2"/>
  <c r="G19" i="2" s="1"/>
  <c r="D19" i="2"/>
  <c r="C19" i="2"/>
  <c r="B19" i="2"/>
  <c r="O18" i="2"/>
  <c r="P18" i="2" s="1"/>
  <c r="L18" i="2"/>
  <c r="M18" i="2" s="1"/>
  <c r="I18" i="2"/>
  <c r="J18" i="2" s="1"/>
  <c r="F18" i="2"/>
  <c r="G18" i="2" s="1"/>
  <c r="D18" i="2"/>
  <c r="C18" i="2"/>
  <c r="B18" i="2"/>
  <c r="O17" i="2"/>
  <c r="P17" i="2" s="1"/>
  <c r="L17" i="2"/>
  <c r="M17" i="2" s="1"/>
  <c r="I17" i="2"/>
  <c r="J17" i="2" s="1"/>
  <c r="F17" i="2"/>
  <c r="G17" i="2" s="1"/>
  <c r="Q17" i="2" s="1"/>
  <c r="D17" i="2"/>
  <c r="C17" i="2"/>
  <c r="B17" i="2"/>
  <c r="O16" i="2"/>
  <c r="P16" i="2" s="1"/>
  <c r="L16" i="2"/>
  <c r="M16" i="2" s="1"/>
  <c r="I16" i="2"/>
  <c r="J16" i="2" s="1"/>
  <c r="F16" i="2"/>
  <c r="G16" i="2" s="1"/>
  <c r="D16" i="2"/>
  <c r="C16" i="2"/>
  <c r="B16" i="2"/>
  <c r="O15" i="2"/>
  <c r="P15" i="2" s="1"/>
  <c r="L15" i="2"/>
  <c r="M15" i="2" s="1"/>
  <c r="I15" i="2"/>
  <c r="J15" i="2" s="1"/>
  <c r="F15" i="2"/>
  <c r="G15" i="2" s="1"/>
  <c r="D15" i="2"/>
  <c r="C15" i="2"/>
  <c r="B15" i="2"/>
  <c r="O14" i="2"/>
  <c r="P14" i="2" s="1"/>
  <c r="L14" i="2"/>
  <c r="M14" i="2" s="1"/>
  <c r="I14" i="2"/>
  <c r="J14" i="2" s="1"/>
  <c r="F14" i="2"/>
  <c r="G14" i="2" s="1"/>
  <c r="D14" i="2"/>
  <c r="C14" i="2"/>
  <c r="B14" i="2"/>
  <c r="O13" i="2"/>
  <c r="P13" i="2" s="1"/>
  <c r="L13" i="2"/>
  <c r="M13" i="2" s="1"/>
  <c r="I13" i="2"/>
  <c r="J13" i="2" s="1"/>
  <c r="F13" i="2"/>
  <c r="G13" i="2" s="1"/>
  <c r="Q13" i="2" s="1"/>
  <c r="D13" i="2"/>
  <c r="C13" i="2"/>
  <c r="B13" i="2"/>
  <c r="O12" i="2"/>
  <c r="P12" i="2" s="1"/>
  <c r="L12" i="2"/>
  <c r="M12" i="2" s="1"/>
  <c r="I12" i="2"/>
  <c r="J12" i="2" s="1"/>
  <c r="F12" i="2"/>
  <c r="G12" i="2" s="1"/>
  <c r="D12" i="2"/>
  <c r="C12" i="2"/>
  <c r="B12" i="2"/>
  <c r="O11" i="2"/>
  <c r="P11" i="2" s="1"/>
  <c r="L11" i="2"/>
  <c r="M11" i="2" s="1"/>
  <c r="I11" i="2"/>
  <c r="J11" i="2" s="1"/>
  <c r="F11" i="2"/>
  <c r="G11" i="2" s="1"/>
  <c r="D11" i="2"/>
  <c r="C11" i="2"/>
  <c r="B11" i="2"/>
  <c r="O10" i="2"/>
  <c r="P10" i="2" s="1"/>
  <c r="L10" i="2"/>
  <c r="M10" i="2" s="1"/>
  <c r="I10" i="2"/>
  <c r="J10" i="2" s="1"/>
  <c r="F10" i="2"/>
  <c r="G10" i="2" s="1"/>
  <c r="D10" i="2"/>
  <c r="C10" i="2"/>
  <c r="B10" i="2"/>
  <c r="O9" i="2"/>
  <c r="P9" i="2" s="1"/>
  <c r="L9" i="2"/>
  <c r="M9" i="2" s="1"/>
  <c r="I9" i="2"/>
  <c r="J9" i="2" s="1"/>
  <c r="F9" i="2"/>
  <c r="G9" i="2" s="1"/>
  <c r="D9" i="2"/>
  <c r="C9" i="2"/>
  <c r="C27" i="2" s="1"/>
  <c r="B9" i="2"/>
  <c r="F24" i="1"/>
  <c r="Q12" i="2" l="1"/>
  <c r="Q20" i="2"/>
  <c r="Q11" i="2"/>
  <c r="Q19" i="2"/>
  <c r="Q10" i="2"/>
  <c r="Q18" i="2"/>
  <c r="G27" i="2"/>
  <c r="Q9" i="2"/>
  <c r="J27" i="2"/>
  <c r="Q16" i="2"/>
  <c r="Q24" i="2"/>
  <c r="Q15" i="2"/>
  <c r="Q23" i="2"/>
  <c r="M27" i="2"/>
  <c r="P27" i="2"/>
  <c r="Q14" i="2"/>
  <c r="Q22" i="2"/>
  <c r="Q27" i="2" l="1"/>
</calcChain>
</file>

<file path=xl/sharedStrings.xml><?xml version="1.0" encoding="utf-8"?>
<sst xmlns="http://schemas.openxmlformats.org/spreadsheetml/2006/main" count="103" uniqueCount="89">
  <si>
    <t>INTEGRATED TECHNICS</t>
  </si>
  <si>
    <t>#</t>
  </si>
  <si>
    <t>Category</t>
  </si>
  <si>
    <t>KPI / Metric Name</t>
  </si>
  <si>
    <t>Definition (What it measures)</t>
  </si>
  <si>
    <t>How it's measured</t>
  </si>
  <si>
    <t>Weight (%)</t>
  </si>
  <si>
    <t>Target</t>
  </si>
  <si>
    <t>Installation &amp; Technical Execution</t>
  </si>
  <si>
    <t>On-Time Installation Completion</t>
  </si>
  <si>
    <t>Measures whether installation work is delivered at the pace the project schedule needs, directly affecting the overall project timeline.</t>
  </si>
  <si>
    <t>% of installation tasks completed on schedule (tasks completed on schedule ÷ total tasks assigned), tracked monthly from site progress reports</t>
  </si>
  <si>
    <t>Employee Name:</t>
  </si>
  <si>
    <t>First-Time Compliance with Approved Shop Drawings</t>
  </si>
  <si>
    <t>Measures the ability to read and execute against approved drawings correctly without repeated inspection cycles.</t>
  </si>
  <si>
    <t>% of installations passing inspection against shop drawings on first attempt (passed ÷ total inspected)</t>
  </si>
  <si>
    <t>Commissioning &amp; System Programming</t>
  </si>
  <si>
    <t>Systems Commissioned On Time</t>
  </si>
  <si>
    <t>Measures delivery of commissioning on plan; commissioning delays are one of the most common causes of handover slippage.</t>
  </si>
  <si>
    <t>% of systems commissioned on/before the planned date (systems on time ÷ total systems assigned for commissioning)</t>
  </si>
  <si>
    <t>Evaluator:</t>
  </si>
  <si>
    <t>Year:</t>
  </si>
  <si>
    <t>First-Time Pass Rate on Startup / Commissioning Tests</t>
  </si>
  <si>
    <t>Measures programming accuracy and readiness before requesting formal witness testing.</t>
  </si>
  <si>
    <t>% of systems passing startup tests on first attempt (passed first time ÷ total systems tested)</t>
  </si>
  <si>
    <t>Yellow cells = enter each quarter's Actual result as a % (e.g. 95% = 0.95); for rating KPIs enter rating ÷ 5 (4/5 = 80%); see 'How it's measured' on the KPI Overview sheet. Achievement % and Score calculate automatically. All KPIs are 'higher is better'.</t>
  </si>
  <si>
    <t>System Integration</t>
  </si>
  <si>
    <t>ELV Systems Verified as Correctly Integrated</t>
  </si>
  <si>
    <t>Measures that ELV systems (CCTV, Access Control, Fire Alarm, etc.) interface with each other as designed, not just installed in isolation; the core differentiator of the role.</t>
  </si>
  <si>
    <t>% of systems confirmed interfacing correctly per project requirement (confirmed ÷ total systems requiring integration)</t>
  </si>
  <si>
    <t>Integration Issues Resolved Before Handover</t>
  </si>
  <si>
    <t>Measures closure of integration issues before handover; unresolved issues create client complaints and warranty callbacks.</t>
  </si>
  <si>
    <t>% of integration issues closed before handover (closed ÷ total integration issues logged)</t>
  </si>
  <si>
    <t>Troubleshooting &amp; Testing</t>
  </si>
  <si>
    <t>Response Time to On-Site Technical Issues</t>
  </si>
  <si>
    <t>Measures how quickly on-site technical issues are picked up, minimizing site downtime and avoiding blocking other disciplines (Electrical, Mechanical, Fit-out).</t>
  </si>
  <si>
    <t>% of on-site technical issues responded to within 24 hours of being reported (from the site issue tracker)</t>
  </si>
  <si>
    <t>Q1 Actual</t>
  </si>
  <si>
    <t>Q1 Achv %</t>
  </si>
  <si>
    <t>Q1 Score</t>
  </si>
  <si>
    <t>Q2 Actual</t>
  </si>
  <si>
    <t>Q2 Achv %</t>
  </si>
  <si>
    <t>Recurring Fault Rate (Permanent Fix Rate)</t>
  </si>
  <si>
    <t>Q2 Score</t>
  </si>
  <si>
    <t>Q3 Actual</t>
  </si>
  <si>
    <t>Distinguishes genuine root-cause troubleshooting from temporary patch fixes.</t>
  </si>
  <si>
    <t>Q3 Achv %</t>
  </si>
  <si>
    <t>% of faults handled that did not recur after the fix (1 − recurring fault rate)</t>
  </si>
  <si>
    <t>Q3 Score</t>
  </si>
  <si>
    <t>Q4 Actual</t>
  </si>
  <si>
    <t>Q4 Achv %</t>
  </si>
  <si>
    <t>Q4 Score</t>
  </si>
  <si>
    <t>Annual Weighted Score</t>
  </si>
  <si>
    <t>Reporting &amp; Support</t>
  </si>
  <si>
    <t>Timeliness of Site Progress Reports</t>
  </si>
  <si>
    <t>Measures whether accurate, on-time reporting is provided so management can track site status and forecast risk.</t>
  </si>
  <si>
    <t>% of site progress reports submitted by the deadline (weekly or as assigned) (submitted on time ÷ total due)</t>
  </si>
  <si>
    <t>Senior Engineer Satisfaction (Testing &amp; Commissioning Support)</t>
  </si>
  <si>
    <t>Captures the quality of support given to senior/lead engineers during Testing &amp; Commissioning, which is hard to quantify otherwise.</t>
  </si>
  <si>
    <t>Average rating (1–5) given by senior/lead engineers, collected quarterly. Enter as % of 5 (e.g. 4/5 = 80%)</t>
  </si>
  <si>
    <t>Cross-Discipline Coordination</t>
  </si>
  <si>
    <t>Interface Issues Resolved Without Escalation</t>
  </si>
  <si>
    <t>Measures the ability to resolve day-to-day conflicts with Electrical / Mechanical / Fit-out directly, reducing management overhead.</t>
  </si>
  <si>
    <t>% of interface issues resolved at site level (resolved without escalation ÷ total interface issues raised)</t>
  </si>
  <si>
    <t>Cross-Discipline Issue Resolution Time</t>
  </si>
  <si>
    <t>Measures how fast cross-discipline issues are closed, keeping the overall site programme moving across all trades.</t>
  </si>
  <si>
    <t>Score % based on average working days from issue identification to resolution: 100% if average ≤ 3 days, reducing proportionally to 0% at 6 days or more</t>
  </si>
  <si>
    <t>Non-Conformance Reports (NCRs) Raised</t>
  </si>
  <si>
    <t>Measures consistency of on-site quality; fewer non-conformance reports indicate consistent quality.</t>
  </si>
  <si>
    <t>Score % based on NCRs issued against the engineer's work area (year to date): 100% if ≤ 3, reducing proportionally to 0% at 6 or more</t>
  </si>
  <si>
    <t>Professional Development</t>
  </si>
  <si>
    <t>Certifications / Trainings Completed</t>
  </si>
  <si>
    <t>Tracks continued technical growth (ELV platforms, networking, etc.) for the role.</t>
  </si>
  <si>
    <t>Score % = relevant ELV/networking certifications or trainings completed and verified ÷ 2.5 (midpoint of the 2–3 target), capped at 100%</t>
  </si>
  <si>
    <t>Soft Skills / Behavioral Competencies</t>
  </si>
  <si>
    <t>Problem-Solving &amp; Hands-On Troubleshooting Mindset</t>
  </si>
  <si>
    <t>Reflects the behavioral requirement for a high passion for site work and hands-on troubleshooting, hard to capture in a purely technical metric.</t>
  </si>
  <si>
    <t>Supervisor rating (1–5), quarterly average, on independent problem-solving and hands-on troubleshooting on site. Enter as % of 5</t>
  </si>
  <si>
    <t>Adaptability to Site Environment &amp; Work Pressure</t>
  </si>
  <si>
    <t>Measures how well the engineer copes with constantly changing site conditions, tight deadlines and last-minute changes.</t>
  </si>
  <si>
    <t>Supervisor rating (1–5) on ability to adapt to changing site conditions, tight deadlines and last-minute changes. Enter as % of 5</t>
  </si>
  <si>
    <t>Teamwork, Communication &amp; Eagerness to Learn</t>
  </si>
  <si>
    <t>Covers coordination quality with other disciplines, clarity of communication (including English) and the proactive learning attitude expected of the role.</t>
  </si>
  <si>
    <t>Supervisor rating (1–5) on coordination with team/other disciplines, communication clarity and proactiveness in learning new systems. Enter as % of 5</t>
  </si>
  <si>
    <t>Total Weight</t>
  </si>
  <si>
    <t>TOTAL</t>
  </si>
  <si>
    <t>Rating Scale:  90-100% Outstanding | 75-89% Exceeds Expectations | 60-74% Meets Expectations | 40-59% Needs Improvement | &lt;40% Unsatisfactory</t>
  </si>
  <si>
    <t>Annul KPI Evaluation   |  Job Title:  Junior ELV / Light Current Site Engineer  |  Department: Engineering</t>
  </si>
  <si>
    <t>Annul KPI Evaluation — Junior ELV / Light Current Site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</si>
</sst>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FFFFFF"/>
      <name val="Arial"/>
    </font>
    <font>
      <sz val="11"/>
      <name val="Calibri"/>
    </font>
    <font>
      <sz val="11"/>
      <color rgb="FFEE7623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0"/>
      <color rgb="FF3F3F41"/>
      <name val="Arial"/>
    </font>
    <font>
      <b/>
      <sz val="10"/>
      <color theme="1"/>
      <name val="Arial"/>
    </font>
    <font>
      <sz val="9"/>
      <color rgb="FF808080"/>
      <name val="Arial"/>
    </font>
    <font>
      <b/>
      <sz val="10"/>
      <color rgb="FFFFFFFF"/>
      <name val="Arial"/>
    </font>
    <font>
      <sz val="9"/>
      <color theme="1"/>
      <name val="Arial"/>
    </font>
    <font>
      <sz val="11"/>
      <color rgb="FFFF99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F3F41"/>
        <bgColor rgb="FF3F3F41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5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top" wrapText="1"/>
    </xf>
    <xf numFmtId="0" fontId="7" fillId="3" borderId="11" xfId="0" applyFont="1" applyFill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0" fontId="6" fillId="0" borderId="11" xfId="0" applyNumberFormat="1" applyFont="1" applyBorder="1" applyAlignment="1">
      <alignment horizontal="center" vertical="top" wrapText="1"/>
    </xf>
    <xf numFmtId="9" fontId="6" fillId="0" borderId="11" xfId="0" applyNumberFormat="1" applyFont="1" applyBorder="1" applyAlignment="1">
      <alignment horizontal="center" vertical="top" wrapText="1"/>
    </xf>
    <xf numFmtId="0" fontId="8" fillId="0" borderId="0" xfId="0" applyFont="1"/>
    <xf numFmtId="0" fontId="1" fillId="4" borderId="1" xfId="0" applyFont="1" applyFill="1" applyBorder="1"/>
    <xf numFmtId="0" fontId="10" fillId="2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10" fontId="11" fillId="0" borderId="11" xfId="0" applyNumberFormat="1" applyFont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9" fontId="11" fillId="4" borderId="11" xfId="0" applyNumberFormat="1" applyFont="1" applyFill="1" applyBorder="1" applyAlignment="1">
      <alignment horizontal="center" vertical="center"/>
    </xf>
    <xf numFmtId="10" fontId="5" fillId="2" borderId="11" xfId="0" applyNumberFormat="1" applyFont="1" applyFill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/>
    </xf>
    <xf numFmtId="0" fontId="12" fillId="0" borderId="0" xfId="0" applyFont="1"/>
    <xf numFmtId="10" fontId="8" fillId="0" borderId="0" xfId="0" applyNumberFormat="1" applyFont="1"/>
    <xf numFmtId="164" fontId="8" fillId="0" borderId="0" xfId="0" applyNumberFormat="1" applyFont="1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2" borderId="8" xfId="0" applyFont="1" applyFill="1" applyBorder="1" applyAlignment="1">
      <alignment horizontal="left" vertical="center"/>
    </xf>
    <xf numFmtId="0" fontId="3" fillId="0" borderId="9" xfId="0" applyFont="1" applyBorder="1"/>
    <xf numFmtId="0" fontId="3" fillId="0" borderId="10" xfId="0" applyFont="1" applyBorder="1"/>
    <xf numFmtId="0" fontId="9" fillId="0" borderId="0" xfId="0" applyFont="1" applyAlignment="1">
      <alignment vertical="center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ySplit="6" topLeftCell="A7" activePane="bottomLeft" state="frozen"/>
      <selection pane="bottomLeft" activeCell="C3" sqref="C3:G3"/>
    </sheetView>
  </sheetViews>
  <sheetFormatPr defaultColWidth="14.44140625" defaultRowHeight="15" customHeight="1" x14ac:dyDescent="0.3"/>
  <cols>
    <col min="1" max="1" width="5" customWidth="1"/>
    <col min="2" max="2" width="24" customWidth="1"/>
    <col min="3" max="3" width="30" customWidth="1"/>
    <col min="4" max="4" width="46" customWidth="1"/>
    <col min="5" max="5" width="36" customWidth="1"/>
    <col min="6" max="6" width="11" customWidth="1"/>
    <col min="7" max="7" width="9" customWidth="1"/>
  </cols>
  <sheetData>
    <row r="1" spans="1:26" ht="24" customHeight="1" x14ac:dyDescent="0.3">
      <c r="A1" s="1"/>
      <c r="B1" s="1"/>
      <c r="C1" s="22" t="s">
        <v>0</v>
      </c>
      <c r="D1" s="23"/>
      <c r="E1" s="23"/>
      <c r="F1" s="23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3">
      <c r="A2" s="1"/>
      <c r="B2" s="1"/>
      <c r="C2" s="25"/>
      <c r="D2" s="26"/>
      <c r="E2" s="26"/>
      <c r="F2" s="26"/>
      <c r="G2" s="2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1"/>
      <c r="B3" s="1"/>
      <c r="C3" s="28" t="s">
        <v>87</v>
      </c>
      <c r="D3" s="29"/>
      <c r="E3" s="29"/>
      <c r="F3" s="29"/>
      <c r="G3" s="3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3">
      <c r="A4" s="33"/>
      <c r="B4" s="32"/>
      <c r="C4" s="32"/>
      <c r="D4" s="32"/>
      <c r="E4" s="32"/>
      <c r="F4" s="32"/>
      <c r="G4" s="3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.75" customHeight="1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0.5" customHeight="1" x14ac:dyDescent="0.3">
      <c r="A7" s="4">
        <v>1</v>
      </c>
      <c r="B7" s="5" t="s">
        <v>8</v>
      </c>
      <c r="C7" s="6" t="s">
        <v>9</v>
      </c>
      <c r="D7" s="6" t="s">
        <v>10</v>
      </c>
      <c r="E7" s="6" t="s">
        <v>11</v>
      </c>
      <c r="F7" s="7">
        <v>0.05</v>
      </c>
      <c r="G7" s="8">
        <v>0.95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7.75" customHeight="1" x14ac:dyDescent="0.3">
      <c r="A8" s="4">
        <v>2</v>
      </c>
      <c r="B8" s="5" t="s">
        <v>8</v>
      </c>
      <c r="C8" s="6" t="s">
        <v>13</v>
      </c>
      <c r="D8" s="6" t="s">
        <v>14</v>
      </c>
      <c r="E8" s="6" t="s">
        <v>15</v>
      </c>
      <c r="F8" s="7">
        <v>0.05</v>
      </c>
      <c r="G8" s="8">
        <v>0.9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.75" customHeight="1" x14ac:dyDescent="0.3">
      <c r="A9" s="4">
        <v>3</v>
      </c>
      <c r="B9" s="5" t="s">
        <v>16</v>
      </c>
      <c r="C9" s="6" t="s">
        <v>17</v>
      </c>
      <c r="D9" s="6" t="s">
        <v>18</v>
      </c>
      <c r="E9" s="6" t="s">
        <v>19</v>
      </c>
      <c r="F9" s="7">
        <v>7.4999999999999997E-2</v>
      </c>
      <c r="G9" s="8">
        <v>0.9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3">
      <c r="A10" s="4">
        <v>4</v>
      </c>
      <c r="B10" s="5" t="s">
        <v>16</v>
      </c>
      <c r="C10" s="6" t="s">
        <v>22</v>
      </c>
      <c r="D10" s="6" t="s">
        <v>23</v>
      </c>
      <c r="E10" s="6" t="s">
        <v>24</v>
      </c>
      <c r="F10" s="7">
        <v>7.4999999999999997E-2</v>
      </c>
      <c r="G10" s="8">
        <v>0.9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0.5" customHeight="1" x14ac:dyDescent="0.3">
      <c r="A11" s="4">
        <v>5</v>
      </c>
      <c r="B11" s="5" t="s">
        <v>26</v>
      </c>
      <c r="C11" s="6" t="s">
        <v>27</v>
      </c>
      <c r="D11" s="6" t="s">
        <v>28</v>
      </c>
      <c r="E11" s="6" t="s">
        <v>29</v>
      </c>
      <c r="F11" s="7">
        <v>7.4999999999999997E-2</v>
      </c>
      <c r="G11" s="8">
        <v>0.9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5" customHeight="1" x14ac:dyDescent="0.3">
      <c r="A12" s="4">
        <v>6</v>
      </c>
      <c r="B12" s="5" t="s">
        <v>26</v>
      </c>
      <c r="C12" s="6" t="s">
        <v>30</v>
      </c>
      <c r="D12" s="6" t="s">
        <v>31</v>
      </c>
      <c r="E12" s="6" t="s">
        <v>32</v>
      </c>
      <c r="F12" s="7">
        <v>7.4999999999999997E-2</v>
      </c>
      <c r="G12" s="8">
        <v>0.9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.75" customHeight="1" x14ac:dyDescent="0.3">
      <c r="A13" s="4">
        <v>7</v>
      </c>
      <c r="B13" s="5" t="s">
        <v>33</v>
      </c>
      <c r="C13" s="6" t="s">
        <v>34</v>
      </c>
      <c r="D13" s="6" t="s">
        <v>35</v>
      </c>
      <c r="E13" s="6" t="s">
        <v>36</v>
      </c>
      <c r="F13" s="7">
        <v>0.1</v>
      </c>
      <c r="G13" s="8">
        <v>0.9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5" customHeight="1" x14ac:dyDescent="0.3">
      <c r="A14" s="4">
        <v>8</v>
      </c>
      <c r="B14" s="5" t="s">
        <v>33</v>
      </c>
      <c r="C14" s="6" t="s">
        <v>42</v>
      </c>
      <c r="D14" s="6" t="s">
        <v>45</v>
      </c>
      <c r="E14" s="6" t="s">
        <v>47</v>
      </c>
      <c r="F14" s="7">
        <v>0.05</v>
      </c>
      <c r="G14" s="8">
        <v>0.9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7.75" customHeight="1" x14ac:dyDescent="0.3">
      <c r="A15" s="4">
        <v>9</v>
      </c>
      <c r="B15" s="5" t="s">
        <v>53</v>
      </c>
      <c r="C15" s="6" t="s">
        <v>54</v>
      </c>
      <c r="D15" s="6" t="s">
        <v>55</v>
      </c>
      <c r="E15" s="6" t="s">
        <v>56</v>
      </c>
      <c r="F15" s="7">
        <v>0.05</v>
      </c>
      <c r="G15" s="8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7.75" customHeight="1" x14ac:dyDescent="0.3">
      <c r="A16" s="4">
        <v>10</v>
      </c>
      <c r="B16" s="5" t="s">
        <v>53</v>
      </c>
      <c r="C16" s="6" t="s">
        <v>57</v>
      </c>
      <c r="D16" s="6" t="s">
        <v>58</v>
      </c>
      <c r="E16" s="6" t="s">
        <v>59</v>
      </c>
      <c r="F16" s="7">
        <v>0.05</v>
      </c>
      <c r="G16" s="8">
        <v>0.8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7.75" customHeight="1" x14ac:dyDescent="0.3">
      <c r="A17" s="4">
        <v>11</v>
      </c>
      <c r="B17" s="5" t="s">
        <v>60</v>
      </c>
      <c r="C17" s="6" t="s">
        <v>61</v>
      </c>
      <c r="D17" s="6" t="s">
        <v>62</v>
      </c>
      <c r="E17" s="6" t="s">
        <v>63</v>
      </c>
      <c r="F17" s="7">
        <v>0.05</v>
      </c>
      <c r="G17" s="8">
        <v>0.9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0.5" customHeight="1" x14ac:dyDescent="0.3">
      <c r="A18" s="4">
        <v>12</v>
      </c>
      <c r="B18" s="5" t="s">
        <v>60</v>
      </c>
      <c r="C18" s="6" t="s">
        <v>64</v>
      </c>
      <c r="D18" s="6" t="s">
        <v>65</v>
      </c>
      <c r="E18" s="6" t="s">
        <v>66</v>
      </c>
      <c r="F18" s="7">
        <v>0.05</v>
      </c>
      <c r="G18" s="8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70.5" customHeight="1" x14ac:dyDescent="0.3">
      <c r="A19" s="4">
        <v>13</v>
      </c>
      <c r="B19" s="5" t="s">
        <v>60</v>
      </c>
      <c r="C19" s="6" t="s">
        <v>67</v>
      </c>
      <c r="D19" s="6" t="s">
        <v>68</v>
      </c>
      <c r="E19" s="6" t="s">
        <v>69</v>
      </c>
      <c r="F19" s="7">
        <v>0.05</v>
      </c>
      <c r="G19" s="8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70.5" customHeight="1" x14ac:dyDescent="0.3">
      <c r="A20" s="4">
        <v>14</v>
      </c>
      <c r="B20" s="5" t="s">
        <v>70</v>
      </c>
      <c r="C20" s="6" t="s">
        <v>71</v>
      </c>
      <c r="D20" s="6" t="s">
        <v>72</v>
      </c>
      <c r="E20" s="6" t="s">
        <v>73</v>
      </c>
      <c r="F20" s="7">
        <v>0.05</v>
      </c>
      <c r="G20" s="8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7.75" customHeight="1" x14ac:dyDescent="0.3">
      <c r="A21" s="4">
        <v>15</v>
      </c>
      <c r="B21" s="5" t="s">
        <v>74</v>
      </c>
      <c r="C21" s="6" t="s">
        <v>75</v>
      </c>
      <c r="D21" s="6" t="s">
        <v>76</v>
      </c>
      <c r="E21" s="6" t="s">
        <v>77</v>
      </c>
      <c r="F21" s="7">
        <v>0.05</v>
      </c>
      <c r="G21" s="8">
        <v>0.8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7.75" customHeight="1" x14ac:dyDescent="0.3">
      <c r="A22" s="4">
        <v>16</v>
      </c>
      <c r="B22" s="5" t="s">
        <v>74</v>
      </c>
      <c r="C22" s="6" t="s">
        <v>78</v>
      </c>
      <c r="D22" s="6" t="s">
        <v>79</v>
      </c>
      <c r="E22" s="6" t="s">
        <v>80</v>
      </c>
      <c r="F22" s="7">
        <v>0.05</v>
      </c>
      <c r="G22" s="8">
        <v>0.8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70.5" customHeight="1" x14ac:dyDescent="0.3">
      <c r="A23" s="4">
        <v>17</v>
      </c>
      <c r="B23" s="5" t="s">
        <v>74</v>
      </c>
      <c r="C23" s="6" t="s">
        <v>81</v>
      </c>
      <c r="D23" s="6" t="s">
        <v>82</v>
      </c>
      <c r="E23" s="6" t="s">
        <v>83</v>
      </c>
      <c r="F23" s="7">
        <v>0.05</v>
      </c>
      <c r="G23" s="8">
        <v>0.8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8" customHeight="1" x14ac:dyDescent="0.3">
      <c r="A24" s="2"/>
      <c r="B24" s="2"/>
      <c r="C24" s="2"/>
      <c r="D24" s="2"/>
      <c r="E24" s="3" t="s">
        <v>84</v>
      </c>
      <c r="F24" s="17">
        <f>SUM(F7:F23)</f>
        <v>1.0000000000000004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2"/>
      <c r="B25" s="2"/>
      <c r="C25" s="2"/>
      <c r="D25" s="2"/>
      <c r="E25" s="1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C1:G2"/>
    <mergeCell ref="C3:G3"/>
    <mergeCell ref="A4:G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pane ySplit="8" topLeftCell="A9" activePane="bottomLeft" state="frozen"/>
      <selection pane="bottomLeft" activeCell="I8" sqref="I8"/>
    </sheetView>
  </sheetViews>
  <sheetFormatPr defaultColWidth="14.44140625" defaultRowHeight="15" customHeight="1" x14ac:dyDescent="0.3"/>
  <cols>
    <col min="1" max="1" width="4" customWidth="1"/>
    <col min="2" max="2" width="32" customWidth="1"/>
    <col min="3" max="3" width="12.33203125" customWidth="1"/>
    <col min="4" max="5" width="10" customWidth="1"/>
    <col min="6" max="6" width="13" customWidth="1"/>
    <col min="7" max="8" width="10" customWidth="1"/>
    <col min="9" max="9" width="15.109375" customWidth="1"/>
    <col min="10" max="14" width="10" customWidth="1"/>
    <col min="15" max="15" width="13.109375" customWidth="1"/>
    <col min="16" max="16" width="10" customWidth="1"/>
    <col min="17" max="17" width="25.44140625" customWidth="1"/>
  </cols>
  <sheetData>
    <row r="1" spans="1:26" ht="24" customHeight="1" x14ac:dyDescent="0.3">
      <c r="A1" s="1"/>
      <c r="B1" s="1"/>
      <c r="C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 x14ac:dyDescent="0.3">
      <c r="A2" s="1"/>
      <c r="B2" s="1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1"/>
      <c r="B3" s="1"/>
      <c r="C3" s="28" t="s">
        <v>88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3">
      <c r="A5" s="9" t="s">
        <v>12</v>
      </c>
      <c r="B5" s="10"/>
      <c r="C5" s="2"/>
      <c r="D5" s="2"/>
      <c r="E5" s="2"/>
      <c r="F5" s="9" t="s">
        <v>20</v>
      </c>
      <c r="G5" s="10"/>
      <c r="H5" s="2"/>
      <c r="I5" s="2"/>
      <c r="J5" s="2"/>
      <c r="K5" s="9" t="s">
        <v>21</v>
      </c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customHeight="1" x14ac:dyDescent="0.3">
      <c r="A6" s="31" t="s">
        <v>25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 x14ac:dyDescent="0.3">
      <c r="A8" s="11" t="s">
        <v>1</v>
      </c>
      <c r="B8" s="11" t="s">
        <v>3</v>
      </c>
      <c r="C8" s="11" t="s">
        <v>6</v>
      </c>
      <c r="D8" s="11" t="s">
        <v>7</v>
      </c>
      <c r="E8" s="11" t="s">
        <v>37</v>
      </c>
      <c r="F8" s="11" t="s">
        <v>38</v>
      </c>
      <c r="G8" s="11" t="s">
        <v>39</v>
      </c>
      <c r="H8" s="11" t="s">
        <v>40</v>
      </c>
      <c r="I8" s="11" t="s">
        <v>41</v>
      </c>
      <c r="J8" s="11" t="s">
        <v>43</v>
      </c>
      <c r="K8" s="11" t="s">
        <v>44</v>
      </c>
      <c r="L8" s="11" t="s">
        <v>46</v>
      </c>
      <c r="M8" s="11" t="s">
        <v>48</v>
      </c>
      <c r="N8" s="11" t="s">
        <v>49</v>
      </c>
      <c r="O8" s="11" t="s">
        <v>50</v>
      </c>
      <c r="P8" s="11" t="s">
        <v>51</v>
      </c>
      <c r="Q8" s="11" t="s">
        <v>52</v>
      </c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3">
      <c r="A9" s="12">
        <v>1</v>
      </c>
      <c r="B9" s="13" t="str">
        <f>'KPI Overview'!C7</f>
        <v>On-Time Installation Completion</v>
      </c>
      <c r="C9" s="14">
        <f>'KPI Overview'!F7</f>
        <v>0.05</v>
      </c>
      <c r="D9" s="15">
        <f>'KPI Overview'!G7</f>
        <v>0.95</v>
      </c>
      <c r="E9" s="16"/>
      <c r="F9" s="15" t="str">
        <f t="shared" ref="F9:F25" si="0">IF(E9="","",MIN(E9/$D9,1))</f>
        <v/>
      </c>
      <c r="G9" s="18" t="str">
        <f t="shared" ref="G9:G25" si="1">IF(F9="","",F9*$C9)</f>
        <v/>
      </c>
      <c r="H9" s="16"/>
      <c r="I9" s="15" t="str">
        <f t="shared" ref="I9:I25" si="2">IF(H9="","",MIN(H9/$D9,1))</f>
        <v/>
      </c>
      <c r="J9" s="18" t="str">
        <f t="shared" ref="J9:J25" si="3">IF(I9="","",I9*$C9)</f>
        <v/>
      </c>
      <c r="K9" s="16"/>
      <c r="L9" s="15" t="str">
        <f t="shared" ref="L9:L25" si="4">IF(K9="","",MIN(K9/$D9,1))</f>
        <v/>
      </c>
      <c r="M9" s="18" t="str">
        <f t="shared" ref="M9:M25" si="5">IF(L9="","",L9*$C9)</f>
        <v/>
      </c>
      <c r="N9" s="16"/>
      <c r="O9" s="15" t="str">
        <f t="shared" ref="O9:O25" si="6">IF(N9="","",MIN(N9/$D9,1))</f>
        <v/>
      </c>
      <c r="P9" s="18" t="str">
        <f t="shared" ref="P9:P25" si="7">IF(O9="","",O9*$C9)</f>
        <v/>
      </c>
      <c r="Q9" s="18" t="str">
        <f t="shared" ref="Q9:Q25" si="8">IFERROR(AVERAGE(G9,J9,M9,P9),"")</f>
        <v/>
      </c>
      <c r="R9" s="2"/>
      <c r="S9" s="2"/>
      <c r="T9" s="2"/>
      <c r="U9" s="2"/>
      <c r="V9" s="2"/>
      <c r="W9" s="2"/>
      <c r="X9" s="2"/>
      <c r="Y9" s="2"/>
      <c r="Z9" s="2"/>
    </row>
    <row r="10" spans="1:26" ht="25.5" customHeight="1" x14ac:dyDescent="0.3">
      <c r="A10" s="12">
        <v>2</v>
      </c>
      <c r="B10" s="13" t="str">
        <f>'KPI Overview'!C8</f>
        <v>First-Time Compliance with Approved Shop Drawings</v>
      </c>
      <c r="C10" s="14">
        <f>'KPI Overview'!F8</f>
        <v>0.05</v>
      </c>
      <c r="D10" s="15">
        <f>'KPI Overview'!G8</f>
        <v>0.9</v>
      </c>
      <c r="E10" s="16"/>
      <c r="F10" s="15" t="str">
        <f t="shared" si="0"/>
        <v/>
      </c>
      <c r="G10" s="18" t="str">
        <f t="shared" si="1"/>
        <v/>
      </c>
      <c r="H10" s="16"/>
      <c r="I10" s="15" t="str">
        <f t="shared" si="2"/>
        <v/>
      </c>
      <c r="J10" s="18" t="str">
        <f t="shared" si="3"/>
        <v/>
      </c>
      <c r="K10" s="16"/>
      <c r="L10" s="15" t="str">
        <f t="shared" si="4"/>
        <v/>
      </c>
      <c r="M10" s="18" t="str">
        <f t="shared" si="5"/>
        <v/>
      </c>
      <c r="N10" s="16"/>
      <c r="O10" s="15" t="str">
        <f t="shared" si="6"/>
        <v/>
      </c>
      <c r="P10" s="18" t="str">
        <f t="shared" si="7"/>
        <v/>
      </c>
      <c r="Q10" s="18" t="str">
        <f t="shared" si="8"/>
        <v/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3">
      <c r="A11" s="12">
        <v>3</v>
      </c>
      <c r="B11" s="13" t="str">
        <f>'KPI Overview'!C9</f>
        <v>Systems Commissioned On Time</v>
      </c>
      <c r="C11" s="14">
        <f>'KPI Overview'!F9</f>
        <v>7.4999999999999997E-2</v>
      </c>
      <c r="D11" s="15">
        <f>'KPI Overview'!G9</f>
        <v>0.9</v>
      </c>
      <c r="E11" s="16"/>
      <c r="F11" s="15" t="str">
        <f t="shared" si="0"/>
        <v/>
      </c>
      <c r="G11" s="18" t="str">
        <f t="shared" si="1"/>
        <v/>
      </c>
      <c r="H11" s="16"/>
      <c r="I11" s="15" t="str">
        <f t="shared" si="2"/>
        <v/>
      </c>
      <c r="J11" s="18" t="str">
        <f t="shared" si="3"/>
        <v/>
      </c>
      <c r="K11" s="16"/>
      <c r="L11" s="15" t="str">
        <f t="shared" si="4"/>
        <v/>
      </c>
      <c r="M11" s="18" t="str">
        <f t="shared" si="5"/>
        <v/>
      </c>
      <c r="N11" s="16"/>
      <c r="O11" s="15" t="str">
        <f t="shared" si="6"/>
        <v/>
      </c>
      <c r="P11" s="18" t="str">
        <f t="shared" si="7"/>
        <v/>
      </c>
      <c r="Q11" s="18" t="str">
        <f t="shared" si="8"/>
        <v/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25.5" customHeight="1" x14ac:dyDescent="0.3">
      <c r="A12" s="12">
        <v>4</v>
      </c>
      <c r="B12" s="13" t="str">
        <f>'KPI Overview'!C10</f>
        <v>First-Time Pass Rate on Startup / Commissioning Tests</v>
      </c>
      <c r="C12" s="14">
        <f>'KPI Overview'!F10</f>
        <v>7.4999999999999997E-2</v>
      </c>
      <c r="D12" s="15">
        <f>'KPI Overview'!G10</f>
        <v>0.9</v>
      </c>
      <c r="E12" s="16"/>
      <c r="F12" s="15" t="str">
        <f t="shared" si="0"/>
        <v/>
      </c>
      <c r="G12" s="18" t="str">
        <f t="shared" si="1"/>
        <v/>
      </c>
      <c r="H12" s="16"/>
      <c r="I12" s="15" t="str">
        <f t="shared" si="2"/>
        <v/>
      </c>
      <c r="J12" s="18" t="str">
        <f t="shared" si="3"/>
        <v/>
      </c>
      <c r="K12" s="16"/>
      <c r="L12" s="15" t="str">
        <f t="shared" si="4"/>
        <v/>
      </c>
      <c r="M12" s="18" t="str">
        <f t="shared" si="5"/>
        <v/>
      </c>
      <c r="N12" s="16"/>
      <c r="O12" s="15" t="str">
        <f t="shared" si="6"/>
        <v/>
      </c>
      <c r="P12" s="18" t="str">
        <f t="shared" si="7"/>
        <v/>
      </c>
      <c r="Q12" s="18" t="str">
        <f t="shared" si="8"/>
        <v/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25.5" customHeight="1" x14ac:dyDescent="0.3">
      <c r="A13" s="12">
        <v>5</v>
      </c>
      <c r="B13" s="13" t="str">
        <f>'KPI Overview'!C11</f>
        <v>ELV Systems Verified as Correctly Integrated</v>
      </c>
      <c r="C13" s="14">
        <f>'KPI Overview'!F11</f>
        <v>7.4999999999999997E-2</v>
      </c>
      <c r="D13" s="15">
        <f>'KPI Overview'!G11</f>
        <v>0.9</v>
      </c>
      <c r="E13" s="16"/>
      <c r="F13" s="15" t="str">
        <f t="shared" si="0"/>
        <v/>
      </c>
      <c r="G13" s="18" t="str">
        <f t="shared" si="1"/>
        <v/>
      </c>
      <c r="H13" s="16"/>
      <c r="I13" s="15" t="str">
        <f t="shared" si="2"/>
        <v/>
      </c>
      <c r="J13" s="18" t="str">
        <f t="shared" si="3"/>
        <v/>
      </c>
      <c r="K13" s="16"/>
      <c r="L13" s="15" t="str">
        <f t="shared" si="4"/>
        <v/>
      </c>
      <c r="M13" s="18" t="str">
        <f t="shared" si="5"/>
        <v/>
      </c>
      <c r="N13" s="16"/>
      <c r="O13" s="15" t="str">
        <f t="shared" si="6"/>
        <v/>
      </c>
      <c r="P13" s="18" t="str">
        <f t="shared" si="7"/>
        <v/>
      </c>
      <c r="Q13" s="18" t="str">
        <f t="shared" si="8"/>
        <v/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25.5" customHeight="1" x14ac:dyDescent="0.3">
      <c r="A14" s="12">
        <v>6</v>
      </c>
      <c r="B14" s="13" t="str">
        <f>'KPI Overview'!C12</f>
        <v>Integration Issues Resolved Before Handover</v>
      </c>
      <c r="C14" s="14">
        <f>'KPI Overview'!F12</f>
        <v>7.4999999999999997E-2</v>
      </c>
      <c r="D14" s="15">
        <f>'KPI Overview'!G12</f>
        <v>0.9</v>
      </c>
      <c r="E14" s="16"/>
      <c r="F14" s="15" t="str">
        <f t="shared" si="0"/>
        <v/>
      </c>
      <c r="G14" s="18" t="str">
        <f t="shared" si="1"/>
        <v/>
      </c>
      <c r="H14" s="16"/>
      <c r="I14" s="15" t="str">
        <f t="shared" si="2"/>
        <v/>
      </c>
      <c r="J14" s="18" t="str">
        <f t="shared" si="3"/>
        <v/>
      </c>
      <c r="K14" s="16"/>
      <c r="L14" s="15" t="str">
        <f t="shared" si="4"/>
        <v/>
      </c>
      <c r="M14" s="18" t="str">
        <f t="shared" si="5"/>
        <v/>
      </c>
      <c r="N14" s="16"/>
      <c r="O14" s="15" t="str">
        <f t="shared" si="6"/>
        <v/>
      </c>
      <c r="P14" s="18" t="str">
        <f t="shared" si="7"/>
        <v/>
      </c>
      <c r="Q14" s="18" t="str">
        <f t="shared" si="8"/>
        <v/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25.5" customHeight="1" x14ac:dyDescent="0.3">
      <c r="A15" s="12">
        <v>7</v>
      </c>
      <c r="B15" s="13" t="str">
        <f>'KPI Overview'!C13</f>
        <v>Response Time to On-Site Technical Issues</v>
      </c>
      <c r="C15" s="14">
        <f>'KPI Overview'!F13</f>
        <v>0.1</v>
      </c>
      <c r="D15" s="15">
        <f>'KPI Overview'!G13</f>
        <v>0.9</v>
      </c>
      <c r="E15" s="16"/>
      <c r="F15" s="15" t="str">
        <f t="shared" si="0"/>
        <v/>
      </c>
      <c r="G15" s="18" t="str">
        <f t="shared" si="1"/>
        <v/>
      </c>
      <c r="H15" s="16"/>
      <c r="I15" s="15" t="str">
        <f t="shared" si="2"/>
        <v/>
      </c>
      <c r="J15" s="18" t="str">
        <f t="shared" si="3"/>
        <v/>
      </c>
      <c r="K15" s="16"/>
      <c r="L15" s="15" t="str">
        <f t="shared" si="4"/>
        <v/>
      </c>
      <c r="M15" s="18" t="str">
        <f t="shared" si="5"/>
        <v/>
      </c>
      <c r="N15" s="16"/>
      <c r="O15" s="15" t="str">
        <f t="shared" si="6"/>
        <v/>
      </c>
      <c r="P15" s="18" t="str">
        <f t="shared" si="7"/>
        <v/>
      </c>
      <c r="Q15" s="18" t="str">
        <f t="shared" si="8"/>
        <v/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 x14ac:dyDescent="0.3">
      <c r="A16" s="12">
        <v>8</v>
      </c>
      <c r="B16" s="13" t="str">
        <f>'KPI Overview'!C14</f>
        <v>Recurring Fault Rate (Permanent Fix Rate)</v>
      </c>
      <c r="C16" s="14">
        <f>'KPI Overview'!F14</f>
        <v>0.05</v>
      </c>
      <c r="D16" s="15">
        <f>'KPI Overview'!G14</f>
        <v>0.9</v>
      </c>
      <c r="E16" s="16"/>
      <c r="F16" s="15" t="str">
        <f t="shared" si="0"/>
        <v/>
      </c>
      <c r="G16" s="18" t="str">
        <f t="shared" si="1"/>
        <v/>
      </c>
      <c r="H16" s="16"/>
      <c r="I16" s="15" t="str">
        <f t="shared" si="2"/>
        <v/>
      </c>
      <c r="J16" s="18" t="str">
        <f t="shared" si="3"/>
        <v/>
      </c>
      <c r="K16" s="16"/>
      <c r="L16" s="15" t="str">
        <f t="shared" si="4"/>
        <v/>
      </c>
      <c r="M16" s="18" t="str">
        <f t="shared" si="5"/>
        <v/>
      </c>
      <c r="N16" s="16"/>
      <c r="O16" s="15" t="str">
        <f t="shared" si="6"/>
        <v/>
      </c>
      <c r="P16" s="18" t="str">
        <f t="shared" si="7"/>
        <v/>
      </c>
      <c r="Q16" s="18" t="str">
        <f t="shared" si="8"/>
        <v/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 x14ac:dyDescent="0.3">
      <c r="A17" s="12">
        <v>9</v>
      </c>
      <c r="B17" s="13" t="str">
        <f>'KPI Overview'!C15</f>
        <v>Timeliness of Site Progress Reports</v>
      </c>
      <c r="C17" s="14">
        <f>'KPI Overview'!F15</f>
        <v>0.05</v>
      </c>
      <c r="D17" s="15">
        <f>'KPI Overview'!G15</f>
        <v>1</v>
      </c>
      <c r="E17" s="16"/>
      <c r="F17" s="15" t="str">
        <f t="shared" si="0"/>
        <v/>
      </c>
      <c r="G17" s="18" t="str">
        <f t="shared" si="1"/>
        <v/>
      </c>
      <c r="H17" s="16"/>
      <c r="I17" s="15" t="str">
        <f t="shared" si="2"/>
        <v/>
      </c>
      <c r="J17" s="18" t="str">
        <f t="shared" si="3"/>
        <v/>
      </c>
      <c r="K17" s="16"/>
      <c r="L17" s="15" t="str">
        <f t="shared" si="4"/>
        <v/>
      </c>
      <c r="M17" s="18" t="str">
        <f t="shared" si="5"/>
        <v/>
      </c>
      <c r="N17" s="16"/>
      <c r="O17" s="15" t="str">
        <f t="shared" si="6"/>
        <v/>
      </c>
      <c r="P17" s="18" t="str">
        <f t="shared" si="7"/>
        <v/>
      </c>
      <c r="Q17" s="18" t="str">
        <f t="shared" si="8"/>
        <v/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25.5" customHeight="1" x14ac:dyDescent="0.3">
      <c r="A18" s="12">
        <v>10</v>
      </c>
      <c r="B18" s="13" t="str">
        <f>'KPI Overview'!C16</f>
        <v>Senior Engineer Satisfaction (Testing &amp; Commissioning Support)</v>
      </c>
      <c r="C18" s="14">
        <f>'KPI Overview'!F16</f>
        <v>0.05</v>
      </c>
      <c r="D18" s="15">
        <f>'KPI Overview'!G16</f>
        <v>0.8</v>
      </c>
      <c r="E18" s="16"/>
      <c r="F18" s="15" t="str">
        <f t="shared" si="0"/>
        <v/>
      </c>
      <c r="G18" s="18" t="str">
        <f t="shared" si="1"/>
        <v/>
      </c>
      <c r="H18" s="16"/>
      <c r="I18" s="15" t="str">
        <f t="shared" si="2"/>
        <v/>
      </c>
      <c r="J18" s="18" t="str">
        <f t="shared" si="3"/>
        <v/>
      </c>
      <c r="K18" s="16"/>
      <c r="L18" s="15" t="str">
        <f t="shared" si="4"/>
        <v/>
      </c>
      <c r="M18" s="18" t="str">
        <f t="shared" si="5"/>
        <v/>
      </c>
      <c r="N18" s="16"/>
      <c r="O18" s="15" t="str">
        <f t="shared" si="6"/>
        <v/>
      </c>
      <c r="P18" s="18" t="str">
        <f t="shared" si="7"/>
        <v/>
      </c>
      <c r="Q18" s="18" t="str">
        <f t="shared" si="8"/>
        <v/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25.5" customHeight="1" x14ac:dyDescent="0.3">
      <c r="A19" s="12">
        <v>11</v>
      </c>
      <c r="B19" s="13" t="str">
        <f>'KPI Overview'!C17</f>
        <v>Interface Issues Resolved Without Escalation</v>
      </c>
      <c r="C19" s="14">
        <f>'KPI Overview'!F17</f>
        <v>0.05</v>
      </c>
      <c r="D19" s="15">
        <f>'KPI Overview'!G17</f>
        <v>0.9</v>
      </c>
      <c r="E19" s="16"/>
      <c r="F19" s="15" t="str">
        <f t="shared" si="0"/>
        <v/>
      </c>
      <c r="G19" s="18" t="str">
        <f t="shared" si="1"/>
        <v/>
      </c>
      <c r="H19" s="16"/>
      <c r="I19" s="15" t="str">
        <f t="shared" si="2"/>
        <v/>
      </c>
      <c r="J19" s="18" t="str">
        <f t="shared" si="3"/>
        <v/>
      </c>
      <c r="K19" s="16"/>
      <c r="L19" s="15" t="str">
        <f t="shared" si="4"/>
        <v/>
      </c>
      <c r="M19" s="18" t="str">
        <f t="shared" si="5"/>
        <v/>
      </c>
      <c r="N19" s="16"/>
      <c r="O19" s="15" t="str">
        <f t="shared" si="6"/>
        <v/>
      </c>
      <c r="P19" s="18" t="str">
        <f t="shared" si="7"/>
        <v/>
      </c>
      <c r="Q19" s="18" t="str">
        <f t="shared" si="8"/>
        <v/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25.5" customHeight="1" x14ac:dyDescent="0.3">
      <c r="A20" s="12">
        <v>12</v>
      </c>
      <c r="B20" s="13" t="str">
        <f>'KPI Overview'!C18</f>
        <v>Cross-Discipline Issue Resolution Time</v>
      </c>
      <c r="C20" s="14">
        <f>'KPI Overview'!F18</f>
        <v>0.05</v>
      </c>
      <c r="D20" s="15">
        <f>'KPI Overview'!G18</f>
        <v>1</v>
      </c>
      <c r="E20" s="16"/>
      <c r="F20" s="15" t="str">
        <f t="shared" si="0"/>
        <v/>
      </c>
      <c r="G20" s="18" t="str">
        <f t="shared" si="1"/>
        <v/>
      </c>
      <c r="H20" s="16"/>
      <c r="I20" s="15" t="str">
        <f t="shared" si="2"/>
        <v/>
      </c>
      <c r="J20" s="18" t="str">
        <f t="shared" si="3"/>
        <v/>
      </c>
      <c r="K20" s="16"/>
      <c r="L20" s="15" t="str">
        <f t="shared" si="4"/>
        <v/>
      </c>
      <c r="M20" s="18" t="str">
        <f t="shared" si="5"/>
        <v/>
      </c>
      <c r="N20" s="16"/>
      <c r="O20" s="15" t="str">
        <f t="shared" si="6"/>
        <v/>
      </c>
      <c r="P20" s="18" t="str">
        <f t="shared" si="7"/>
        <v/>
      </c>
      <c r="Q20" s="18" t="str">
        <f t="shared" si="8"/>
        <v/>
      </c>
      <c r="R20" s="2"/>
      <c r="S20" s="2"/>
      <c r="T20" s="2"/>
      <c r="U20" s="2"/>
      <c r="V20" s="2"/>
      <c r="W20" s="2"/>
      <c r="X20" s="2"/>
      <c r="Y20" s="2"/>
      <c r="Z20" s="2"/>
    </row>
    <row r="21" spans="1:26" ht="25.5" customHeight="1" x14ac:dyDescent="0.3">
      <c r="A21" s="12">
        <v>13</v>
      </c>
      <c r="B21" s="13" t="str">
        <f>'KPI Overview'!C19</f>
        <v>Non-Conformance Reports (NCRs) Raised</v>
      </c>
      <c r="C21" s="14">
        <f>'KPI Overview'!F19</f>
        <v>0.05</v>
      </c>
      <c r="D21" s="15">
        <f>'KPI Overview'!G19</f>
        <v>1</v>
      </c>
      <c r="E21" s="16"/>
      <c r="F21" s="15" t="str">
        <f t="shared" si="0"/>
        <v/>
      </c>
      <c r="G21" s="18" t="str">
        <f t="shared" si="1"/>
        <v/>
      </c>
      <c r="H21" s="16"/>
      <c r="I21" s="15" t="str">
        <f t="shared" si="2"/>
        <v/>
      </c>
      <c r="J21" s="18" t="str">
        <f t="shared" si="3"/>
        <v/>
      </c>
      <c r="K21" s="16"/>
      <c r="L21" s="15" t="str">
        <f t="shared" si="4"/>
        <v/>
      </c>
      <c r="M21" s="18" t="str">
        <f t="shared" si="5"/>
        <v/>
      </c>
      <c r="N21" s="16"/>
      <c r="O21" s="15" t="str">
        <f t="shared" si="6"/>
        <v/>
      </c>
      <c r="P21" s="18" t="str">
        <f t="shared" si="7"/>
        <v/>
      </c>
      <c r="Q21" s="18" t="str">
        <f t="shared" si="8"/>
        <v/>
      </c>
      <c r="R21" s="2"/>
      <c r="S21" s="2"/>
      <c r="T21" s="2"/>
      <c r="U21" s="2"/>
      <c r="V21" s="2"/>
      <c r="W21" s="2"/>
      <c r="X21" s="2"/>
      <c r="Y21" s="2"/>
      <c r="Z21" s="2"/>
    </row>
    <row r="22" spans="1:26" ht="25.5" customHeight="1" x14ac:dyDescent="0.3">
      <c r="A22" s="12">
        <v>14</v>
      </c>
      <c r="B22" s="13" t="str">
        <f>'KPI Overview'!C20</f>
        <v>Certifications / Trainings Completed</v>
      </c>
      <c r="C22" s="14">
        <f>'KPI Overview'!F20</f>
        <v>0.05</v>
      </c>
      <c r="D22" s="15">
        <f>'KPI Overview'!G20</f>
        <v>1</v>
      </c>
      <c r="E22" s="16"/>
      <c r="F22" s="15" t="str">
        <f t="shared" si="0"/>
        <v/>
      </c>
      <c r="G22" s="18" t="str">
        <f t="shared" si="1"/>
        <v/>
      </c>
      <c r="H22" s="16"/>
      <c r="I22" s="15" t="str">
        <f t="shared" si="2"/>
        <v/>
      </c>
      <c r="J22" s="18" t="str">
        <f t="shared" si="3"/>
        <v/>
      </c>
      <c r="K22" s="16"/>
      <c r="L22" s="15" t="str">
        <f t="shared" si="4"/>
        <v/>
      </c>
      <c r="M22" s="18" t="str">
        <f t="shared" si="5"/>
        <v/>
      </c>
      <c r="N22" s="16"/>
      <c r="O22" s="15" t="str">
        <f t="shared" si="6"/>
        <v/>
      </c>
      <c r="P22" s="18" t="str">
        <f t="shared" si="7"/>
        <v/>
      </c>
      <c r="Q22" s="18" t="str">
        <f t="shared" si="8"/>
        <v/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25.5" customHeight="1" x14ac:dyDescent="0.3">
      <c r="A23" s="12">
        <v>15</v>
      </c>
      <c r="B23" s="13" t="str">
        <f>'KPI Overview'!C21</f>
        <v>Problem-Solving &amp; Hands-On Troubleshooting Mindset</v>
      </c>
      <c r="C23" s="14">
        <f>'KPI Overview'!F21</f>
        <v>0.05</v>
      </c>
      <c r="D23" s="15">
        <f>'KPI Overview'!G21</f>
        <v>0.8</v>
      </c>
      <c r="E23" s="16"/>
      <c r="F23" s="15" t="str">
        <f t="shared" si="0"/>
        <v/>
      </c>
      <c r="G23" s="18" t="str">
        <f t="shared" si="1"/>
        <v/>
      </c>
      <c r="H23" s="16"/>
      <c r="I23" s="15" t="str">
        <f t="shared" si="2"/>
        <v/>
      </c>
      <c r="J23" s="18" t="str">
        <f t="shared" si="3"/>
        <v/>
      </c>
      <c r="K23" s="16"/>
      <c r="L23" s="15" t="str">
        <f t="shared" si="4"/>
        <v/>
      </c>
      <c r="M23" s="18" t="str">
        <f t="shared" si="5"/>
        <v/>
      </c>
      <c r="N23" s="16"/>
      <c r="O23" s="15" t="str">
        <f t="shared" si="6"/>
        <v/>
      </c>
      <c r="P23" s="18" t="str">
        <f t="shared" si="7"/>
        <v/>
      </c>
      <c r="Q23" s="18" t="str">
        <f t="shared" si="8"/>
        <v/>
      </c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 x14ac:dyDescent="0.3">
      <c r="A24" s="12">
        <v>16</v>
      </c>
      <c r="B24" s="13" t="str">
        <f>'KPI Overview'!C22</f>
        <v>Adaptability to Site Environment &amp; Work Pressure</v>
      </c>
      <c r="C24" s="14">
        <f>'KPI Overview'!F22</f>
        <v>0.05</v>
      </c>
      <c r="D24" s="15">
        <f>'KPI Overview'!G22</f>
        <v>0.8</v>
      </c>
      <c r="E24" s="16"/>
      <c r="F24" s="15" t="str">
        <f t="shared" si="0"/>
        <v/>
      </c>
      <c r="G24" s="18" t="str">
        <f t="shared" si="1"/>
        <v/>
      </c>
      <c r="H24" s="16"/>
      <c r="I24" s="15" t="str">
        <f t="shared" si="2"/>
        <v/>
      </c>
      <c r="J24" s="18" t="str">
        <f t="shared" si="3"/>
        <v/>
      </c>
      <c r="K24" s="16"/>
      <c r="L24" s="15" t="str">
        <f t="shared" si="4"/>
        <v/>
      </c>
      <c r="M24" s="18" t="str">
        <f t="shared" si="5"/>
        <v/>
      </c>
      <c r="N24" s="16"/>
      <c r="O24" s="15" t="str">
        <f t="shared" si="6"/>
        <v/>
      </c>
      <c r="P24" s="18" t="str">
        <f t="shared" si="7"/>
        <v/>
      </c>
      <c r="Q24" s="18" t="str">
        <f t="shared" si="8"/>
        <v/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25.5" customHeight="1" x14ac:dyDescent="0.3">
      <c r="A25" s="12">
        <v>17</v>
      </c>
      <c r="B25" s="13" t="str">
        <f>'KPI Overview'!C23</f>
        <v>Teamwork, Communication &amp; Eagerness to Learn</v>
      </c>
      <c r="C25" s="14">
        <f>'KPI Overview'!F23</f>
        <v>0.05</v>
      </c>
      <c r="D25" s="15">
        <f>'KPI Overview'!G23</f>
        <v>0.8</v>
      </c>
      <c r="E25" s="16"/>
      <c r="F25" s="15" t="str">
        <f t="shared" si="0"/>
        <v/>
      </c>
      <c r="G25" s="18" t="str">
        <f t="shared" si="1"/>
        <v/>
      </c>
      <c r="H25" s="16"/>
      <c r="I25" s="15" t="str">
        <f t="shared" si="2"/>
        <v/>
      </c>
      <c r="J25" s="18" t="str">
        <f t="shared" si="3"/>
        <v/>
      </c>
      <c r="K25" s="16"/>
      <c r="L25" s="15" t="str">
        <f t="shared" si="4"/>
        <v/>
      </c>
      <c r="M25" s="18" t="str">
        <f t="shared" si="5"/>
        <v/>
      </c>
      <c r="N25" s="16"/>
      <c r="O25" s="15" t="str">
        <f t="shared" si="6"/>
        <v/>
      </c>
      <c r="P25" s="18" t="str">
        <f t="shared" si="7"/>
        <v/>
      </c>
      <c r="Q25" s="18" t="str">
        <f t="shared" si="8"/>
        <v/>
      </c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9" t="s">
        <v>85</v>
      </c>
      <c r="C27" s="20">
        <f>SUM(C9:C25)</f>
        <v>1.0000000000000004</v>
      </c>
      <c r="D27" s="2"/>
      <c r="E27" s="2"/>
      <c r="F27" s="2"/>
      <c r="G27" s="21">
        <f>SUM(G9:G25)</f>
        <v>0</v>
      </c>
      <c r="H27" s="2"/>
      <c r="I27" s="2"/>
      <c r="J27" s="21">
        <f>SUM(J9:J25)</f>
        <v>0</v>
      </c>
      <c r="K27" s="2"/>
      <c r="L27" s="2"/>
      <c r="M27" s="21">
        <f>SUM(M9:M25)</f>
        <v>0</v>
      </c>
      <c r="N27" s="2"/>
      <c r="O27" s="2"/>
      <c r="P27" s="21">
        <f t="shared" ref="P27:Q27" si="9">SUM(P9:P25)</f>
        <v>0</v>
      </c>
      <c r="Q27" s="21">
        <f t="shared" si="9"/>
        <v>0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3">
      <c r="A29" s="31" t="s">
        <v>86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C1:P2"/>
    <mergeCell ref="C3:P3"/>
    <mergeCell ref="A6:P6"/>
    <mergeCell ref="A29:Q29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Overview</vt:lpstr>
      <vt:lpstr>Annul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Hafez Rahim</cp:lastModifiedBy>
  <dcterms:created xsi:type="dcterms:W3CDTF">2026-10-11T08:50:48Z</dcterms:created>
  <dcterms:modified xsi:type="dcterms:W3CDTF">2026-10-30T13:47:00Z</dcterms:modified>
</cp:coreProperties>
</file>